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kmitlthailand-my.sharepoint.com/personal/67011018_kmitl_ac_th/Documents/"/>
    </mc:Choice>
  </mc:AlternateContent>
  <xr:revisionPtr revIDLastSave="0" documentId="8_{76166E71-6323-4401-91CB-E1C8138B6C4F}" xr6:coauthVersionLast="47" xr6:coauthVersionMax="47" xr10:uidLastSave="{00000000-0000-0000-0000-000000000000}"/>
  <bookViews>
    <workbookView xWindow="7284" yWindow="468" windowWidth="13608" windowHeight="10476" xr2:uid="{BDC8AF18-4551-4183-ACBF-963F32CBF75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  <c r="C54" i="1"/>
  <c r="C55" i="1"/>
  <c r="C56" i="1"/>
  <c r="C57" i="1"/>
  <c r="C52" i="1"/>
  <c r="C40" i="1"/>
  <c r="C41" i="1"/>
  <c r="C42" i="1"/>
  <c r="C39" i="1"/>
  <c r="C43" i="1"/>
  <c r="C44" i="1"/>
  <c r="C45" i="1"/>
  <c r="C47" i="1"/>
  <c r="C49" i="1"/>
  <c r="C50" i="1"/>
  <c r="C51" i="1"/>
  <c r="C27" i="1"/>
  <c r="C28" i="1"/>
  <c r="C29" i="1"/>
  <c r="C30" i="1"/>
  <c r="C31" i="1"/>
  <c r="C32" i="1"/>
  <c r="C33" i="1"/>
  <c r="C34" i="1"/>
  <c r="C35" i="1"/>
  <c r="C36" i="1"/>
  <c r="C37" i="1"/>
  <c r="C38" i="1"/>
  <c r="C23" i="1"/>
  <c r="C24" i="1"/>
  <c r="C25" i="1"/>
  <c r="C26" i="1"/>
  <c r="C22" i="1"/>
  <c r="C3" i="1"/>
  <c r="C13" i="1"/>
  <c r="C14" i="1"/>
  <c r="C15" i="1"/>
  <c r="C16" i="1"/>
  <c r="C17" i="1"/>
  <c r="C18" i="1"/>
  <c r="C19" i="1"/>
  <c r="C20" i="1"/>
  <c r="C21" i="1"/>
  <c r="C12" i="1"/>
  <c r="C6" i="1"/>
  <c r="C7" i="1"/>
  <c r="C5" i="1"/>
  <c r="C4" i="1"/>
  <c r="C48" i="1"/>
</calcChain>
</file>

<file path=xl/sharedStrings.xml><?xml version="1.0" encoding="utf-8"?>
<sst xmlns="http://schemas.openxmlformats.org/spreadsheetml/2006/main" count="8" uniqueCount="5">
  <si>
    <t>การ Calibrated Sensor</t>
  </si>
  <si>
    <t>sensor</t>
  </si>
  <si>
    <t>multimeter</t>
  </si>
  <si>
    <t>error</t>
  </si>
  <si>
    <t xml:space="preserve">เพิ่มทีละ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</si>
</sst>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792104111986008"/>
                  <c:y val="9.2774861475648882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Sheet1!$A$12:$A$21</c:f>
              <c:numCache>
                <c:formatCode>General</c:formatCode>
                <c:ptCount val="10"/>
                <c:pt idx="0">
                  <c:v>0.08</c:v>
                </c:pt>
                <c:pt idx="1">
                  <c:v>0.27</c:v>
                </c:pt>
                <c:pt idx="2">
                  <c:v>0.47</c:v>
                </c:pt>
                <c:pt idx="3">
                  <c:v>0.67</c:v>
                </c:pt>
                <c:pt idx="4">
                  <c:v>0.87</c:v>
                </c:pt>
                <c:pt idx="5">
                  <c:v>1.07</c:v>
                </c:pt>
                <c:pt idx="6">
                  <c:v>1.28</c:v>
                </c:pt>
                <c:pt idx="7">
                  <c:v>1.48</c:v>
                </c:pt>
                <c:pt idx="8">
                  <c:v>1.69</c:v>
                </c:pt>
                <c:pt idx="9">
                  <c:v>1.89</c:v>
                </c:pt>
              </c:numCache>
            </c:numRef>
          </c:xVal>
          <c:yVal>
            <c:numRef>
              <c:f>Sheet1!$B$12:$B$21</c:f>
              <c:numCache>
                <c:formatCode>General</c:formatCode>
                <c:ptCount val="10"/>
                <c:pt idx="0">
                  <c:v>1.0082</c:v>
                </c:pt>
                <c:pt idx="1">
                  <c:v>1.9970000000000001</c:v>
                </c:pt>
                <c:pt idx="2">
                  <c:v>2.9980000000000002</c:v>
                </c:pt>
                <c:pt idx="3">
                  <c:v>3.9910000000000001</c:v>
                </c:pt>
                <c:pt idx="4">
                  <c:v>4.9829999999999997</c:v>
                </c:pt>
                <c:pt idx="5">
                  <c:v>6.0049999999999999</c:v>
                </c:pt>
                <c:pt idx="6">
                  <c:v>7</c:v>
                </c:pt>
                <c:pt idx="7">
                  <c:v>7.9909999999999997</c:v>
                </c:pt>
                <c:pt idx="8">
                  <c:v>9.0039999999999996</c:v>
                </c:pt>
                <c:pt idx="9">
                  <c:v>10.002000000000001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4-40B5-810D-139845BB0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618063"/>
        <c:axId val="1713614703"/>
      </c:scatterChart>
      <c:valAx>
        <c:axId val="171361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614703"/>
        <c:crosses val="autoZero"/>
        <c:crossBetween val="midCat"/>
      </c:valAx>
      <c:valAx>
        <c:axId val="171361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61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5165638670166229"/>
                  <c:y val="3.19747010790317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Sheet1!$A$12:$A$26</c:f>
              <c:numCache>
                <c:formatCode>General</c:formatCode>
                <c:ptCount val="15"/>
                <c:pt idx="0">
                  <c:v>0.08</c:v>
                </c:pt>
                <c:pt idx="1">
                  <c:v>0.27</c:v>
                </c:pt>
                <c:pt idx="2">
                  <c:v>0.47</c:v>
                </c:pt>
                <c:pt idx="3">
                  <c:v>0.67</c:v>
                </c:pt>
                <c:pt idx="4">
                  <c:v>0.87</c:v>
                </c:pt>
                <c:pt idx="5">
                  <c:v>1.07</c:v>
                </c:pt>
                <c:pt idx="6">
                  <c:v>1.28</c:v>
                </c:pt>
                <c:pt idx="7">
                  <c:v>1.48</c:v>
                </c:pt>
                <c:pt idx="8">
                  <c:v>1.69</c:v>
                </c:pt>
                <c:pt idx="9">
                  <c:v>1.89</c:v>
                </c:pt>
                <c:pt idx="10">
                  <c:v>2.09</c:v>
                </c:pt>
                <c:pt idx="11">
                  <c:v>2.29</c:v>
                </c:pt>
                <c:pt idx="12">
                  <c:v>2.64</c:v>
                </c:pt>
                <c:pt idx="13">
                  <c:v>2.82</c:v>
                </c:pt>
                <c:pt idx="14">
                  <c:v>3.11</c:v>
                </c:pt>
              </c:numCache>
            </c:numRef>
          </c:xVal>
          <c:yVal>
            <c:numRef>
              <c:f>Sheet1!$B$12:$B$26</c:f>
              <c:numCache>
                <c:formatCode>General</c:formatCode>
                <c:ptCount val="15"/>
                <c:pt idx="0">
                  <c:v>1.0082</c:v>
                </c:pt>
                <c:pt idx="1">
                  <c:v>1.9970000000000001</c:v>
                </c:pt>
                <c:pt idx="2">
                  <c:v>2.9980000000000002</c:v>
                </c:pt>
                <c:pt idx="3">
                  <c:v>3.9910000000000001</c:v>
                </c:pt>
                <c:pt idx="4">
                  <c:v>4.9829999999999997</c:v>
                </c:pt>
                <c:pt idx="5">
                  <c:v>6.0049999999999999</c:v>
                </c:pt>
                <c:pt idx="6">
                  <c:v>7</c:v>
                </c:pt>
                <c:pt idx="7">
                  <c:v>7.9909999999999997</c:v>
                </c:pt>
                <c:pt idx="8">
                  <c:v>9.0039999999999996</c:v>
                </c:pt>
                <c:pt idx="9">
                  <c:v>10.002000000000001</c:v>
                </c:pt>
                <c:pt idx="10">
                  <c:v>11.005000000000001</c:v>
                </c:pt>
                <c:pt idx="11">
                  <c:v>11.992000000000001</c:v>
                </c:pt>
                <c:pt idx="12">
                  <c:v>13.007</c:v>
                </c:pt>
                <c:pt idx="13">
                  <c:v>13.989000000000001</c:v>
                </c:pt>
                <c:pt idx="14">
                  <c:v>14.981999999999999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7-4A92-9F04-1B1599186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3831"/>
        <c:axId val="14415879"/>
      </c:scatterChart>
      <c:valAx>
        <c:axId val="14413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5879"/>
        <c:crosses val="autoZero"/>
        <c:crossBetween val="midCat"/>
      </c:valAx>
      <c:valAx>
        <c:axId val="14415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3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1 - 10 V  </a:t>
            </a:r>
            <a:r>
              <a:rPr lang="th-TH"/>
              <a:t>ดีที่สุด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056714785651794"/>
                  <c:y val="1.900444736074657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Sheet1!$A$28:$A$44</c:f>
              <c:numCache>
                <c:formatCode>General</c:formatCode>
                <c:ptCount val="17"/>
                <c:pt idx="0">
                  <c:v>0</c:v>
                </c:pt>
                <c:pt idx="1">
                  <c:v>0.08</c:v>
                </c:pt>
                <c:pt idx="2">
                  <c:v>0.27</c:v>
                </c:pt>
                <c:pt idx="3">
                  <c:v>0.48</c:v>
                </c:pt>
                <c:pt idx="4">
                  <c:v>0.68</c:v>
                </c:pt>
                <c:pt idx="5">
                  <c:v>0.88</c:v>
                </c:pt>
                <c:pt idx="6">
                  <c:v>1.08</c:v>
                </c:pt>
                <c:pt idx="7">
                  <c:v>1.33</c:v>
                </c:pt>
                <c:pt idx="8">
                  <c:v>1.45</c:v>
                </c:pt>
                <c:pt idx="9">
                  <c:v>1.69</c:v>
                </c:pt>
                <c:pt idx="10">
                  <c:v>1.89</c:v>
                </c:pt>
                <c:pt idx="11">
                  <c:v>2.09</c:v>
                </c:pt>
                <c:pt idx="12">
                  <c:v>2.2999999999999998</c:v>
                </c:pt>
                <c:pt idx="13">
                  <c:v>2.5099999999999998</c:v>
                </c:pt>
                <c:pt idx="14">
                  <c:v>2.77</c:v>
                </c:pt>
                <c:pt idx="15">
                  <c:v>3.08</c:v>
                </c:pt>
                <c:pt idx="16">
                  <c:v>3.3</c:v>
                </c:pt>
              </c:numCache>
            </c:numRef>
          </c:xVal>
          <c:yVal>
            <c:numRef>
              <c:f>Sheet1!$B$28:$B$44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0A-4192-B38F-80641BBC3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63303"/>
        <c:axId val="55882247"/>
      </c:scatterChart>
      <c:valAx>
        <c:axId val="55863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82247"/>
        <c:crosses val="autoZero"/>
        <c:crossBetween val="midCat"/>
      </c:valAx>
      <c:valAx>
        <c:axId val="55882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63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8822970205647371"/>
                  <c:y val="-3.18220748722199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Sheet1!$A$47:$A$57</c:f>
              <c:numCache>
                <c:formatCode>General</c:formatCode>
                <c:ptCount val="11"/>
                <c:pt idx="0">
                  <c:v>0</c:v>
                </c:pt>
                <c:pt idx="1">
                  <c:v>0.20599999999999999</c:v>
                </c:pt>
                <c:pt idx="2">
                  <c:v>0.54200000000000004</c:v>
                </c:pt>
                <c:pt idx="3">
                  <c:v>0.88200000000000001</c:v>
                </c:pt>
                <c:pt idx="4">
                  <c:v>1.2210000000000001</c:v>
                </c:pt>
                <c:pt idx="5">
                  <c:v>1.56</c:v>
                </c:pt>
                <c:pt idx="6">
                  <c:v>1.91</c:v>
                </c:pt>
                <c:pt idx="7">
                  <c:v>2.2519999999999998</c:v>
                </c:pt>
                <c:pt idx="8">
                  <c:v>2.6160000000000001</c:v>
                </c:pt>
                <c:pt idx="9">
                  <c:v>3.1520000000000001</c:v>
                </c:pt>
                <c:pt idx="10">
                  <c:v>3.3</c:v>
                </c:pt>
              </c:numCache>
            </c:numRef>
          </c:xVal>
          <c:yVal>
            <c:numRef>
              <c:f>Sheet1!$B$47:$B$57</c:f>
              <c:numCache>
                <c:formatCode>General</c:formatCode>
                <c:ptCount val="11"/>
                <c:pt idx="0">
                  <c:v>0</c:v>
                </c:pt>
                <c:pt idx="1">
                  <c:v>1.651</c:v>
                </c:pt>
                <c:pt idx="2">
                  <c:v>3.2989999999999999</c:v>
                </c:pt>
                <c:pt idx="3">
                  <c:v>4.9459999999999997</c:v>
                </c:pt>
                <c:pt idx="4">
                  <c:v>6.5949999999999998</c:v>
                </c:pt>
                <c:pt idx="5">
                  <c:v>8.2460000000000004</c:v>
                </c:pt>
                <c:pt idx="6">
                  <c:v>9.8930000000000007</c:v>
                </c:pt>
                <c:pt idx="7">
                  <c:v>11.542</c:v>
                </c:pt>
                <c:pt idx="8">
                  <c:v>13.192</c:v>
                </c:pt>
                <c:pt idx="9">
                  <c:v>14.84</c:v>
                </c:pt>
                <c:pt idx="10">
                  <c:v>16.492000000000001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B7-4273-BE82-77AE3C5B6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09512"/>
        <c:axId val="754925576"/>
      </c:scatterChart>
      <c:valAx>
        <c:axId val="111509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25576"/>
        <c:crosses val="autoZero"/>
        <c:crossBetween val="midCat"/>
      </c:valAx>
      <c:valAx>
        <c:axId val="75492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09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511628</xdr:colOff>
      <xdr:row>5</xdr:row>
      <xdr:rowOff>108857</xdr:rowOff>
    </xdr:from>
    <xdr:to>
      <xdr:col>11</xdr:col>
      <xdr:colOff>206828</xdr:colOff>
      <xdr:row>20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363AB8-274E-B160-0B3D-457F50FFE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6</xdr:row>
      <xdr:rowOff>104775</xdr:rowOff>
    </xdr:from>
    <xdr:to>
      <xdr:col>19</xdr:col>
      <xdr:colOff>304800</xdr:colOff>
      <xdr:row>21</xdr:row>
      <xdr:rowOff>133350</xdr:rowOff>
    </xdr:to>
    <xdr:graphicFrame macro="">
      <xdr:nvGraphicFramePr>
        <xdr:cNvPr id="11" name="แผนภูมิ 10">
          <a:extLst>
            <a:ext uri="{FF2B5EF4-FFF2-40B4-BE49-F238E27FC236}">
              <a16:creationId xmlns:a16="http://schemas.microsoft.com/office/drawing/2014/main" id="{5EB94804-8167-300F-AF3E-A877A9C26846}"/>
            </a:ext>
            <a:ext uri="{147F2762-F138-4A5C-976F-8EAC2B608ADB}">
              <a16:predDERef xmlns:a16="http://schemas.microsoft.com/office/drawing/2014/main" pred="{1D363AB8-274E-B160-0B3D-457F50FFE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152400</xdr:colOff>
      <xdr:row>25</xdr:row>
      <xdr:rowOff>85725</xdr:rowOff>
    </xdr:from>
    <xdr:to>
      <xdr:col>13</xdr:col>
      <xdr:colOff>457200</xdr:colOff>
      <xdr:row>40</xdr:row>
      <xdr:rowOff>114300</xdr:rowOff>
    </xdr:to>
    <xdr:graphicFrame macro="">
      <xdr:nvGraphicFramePr>
        <xdr:cNvPr id="12" name="แผนภูมิ 11">
          <a:extLst>
            <a:ext uri="{FF2B5EF4-FFF2-40B4-BE49-F238E27FC236}">
              <a16:creationId xmlns:a16="http://schemas.microsoft.com/office/drawing/2014/main" id="{5ACE4D1C-57A9-C99F-51E2-354C418B9F31}"/>
            </a:ext>
            <a:ext uri="{147F2762-F138-4A5C-976F-8EAC2B608ADB}">
              <a16:predDERef xmlns:a16="http://schemas.microsoft.com/office/drawing/2014/main" pred="{5EB94804-8167-300F-AF3E-A877A9C26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438150</xdr:colOff>
      <xdr:row>45</xdr:row>
      <xdr:rowOff>19050</xdr:rowOff>
    </xdr:from>
    <xdr:to>
      <xdr:col>11</xdr:col>
      <xdr:colOff>504825</xdr:colOff>
      <xdr:row>58</xdr:row>
      <xdr:rowOff>19050</xdr:rowOff>
    </xdr:to>
    <xdr:graphicFrame macro="">
      <xdr:nvGraphicFramePr>
        <xdr:cNvPr id="15" name="แผนภูมิ 14">
          <a:extLst>
            <a:ext uri="{FF2B5EF4-FFF2-40B4-BE49-F238E27FC236}">
              <a16:creationId xmlns:a16="http://schemas.microsoft.com/office/drawing/2014/main" id="{C9C55AD4-0FA3-7EAA-D59F-B7AFA4B856CA}"/>
            </a:ext>
            <a:ext uri="{147F2762-F138-4A5C-976F-8EAC2B608ADB}">
              <a16:predDERef xmlns:a16="http://schemas.microsoft.com/office/drawing/2014/main" pred="{5ACE4D1C-57A9-C99F-51E2-354C418B9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8512-7687-4663-89E8-1DE294262485}">
  <dimension ref="A1:D57"/>
  <sheetViews>
    <sheetView tabSelected="1" zoomScale="115" zoomScaleNormal="115" workbookViewId="0">
      <selection activeCell="K4" sqref="K4"/>
    </sheetView>
  </sheetViews>
  <sheetFormatPr defaultRowHeight="14.45"/>
  <cols>
    <col min="2" max="2" width="9.42578125" customWidth="1"/>
  </cols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>
        <v>0</v>
      </c>
      <c r="B3">
        <v>2.0000000000000001E-4</v>
      </c>
      <c r="C3">
        <f>ABS(((A3-B3)/B3)*100)</f>
        <v>100</v>
      </c>
    </row>
    <row r="4" spans="1:3">
      <c r="A4">
        <v>0.57999999999999996</v>
      </c>
      <c r="B4">
        <v>1.58</v>
      </c>
      <c r="C4">
        <f>ROUND(ABS(((A4-B4)/B4)*100),2)</f>
        <v>63.29</v>
      </c>
    </row>
    <row r="5" spans="1:3">
      <c r="A5">
        <v>8.73</v>
      </c>
      <c r="B5">
        <v>10.007</v>
      </c>
      <c r="C5">
        <f t="shared" ref="C5:C7" si="0">ROUND(ABS(((A5-B5)/B5)*100),2)</f>
        <v>12.76</v>
      </c>
    </row>
    <row r="6" spans="1:3">
      <c r="A6">
        <v>12.13</v>
      </c>
      <c r="B6">
        <v>14.989000000000001</v>
      </c>
      <c r="C6">
        <f>ROUND(ABS(((A6-B6)/B6)*100),2)</f>
        <v>19.07</v>
      </c>
    </row>
    <row r="7" spans="1:3">
      <c r="A7">
        <v>0</v>
      </c>
      <c r="B7">
        <v>5.9999999999999995E-4</v>
      </c>
      <c r="C7">
        <f t="shared" si="0"/>
        <v>100</v>
      </c>
    </row>
    <row r="11" spans="1:3">
      <c r="A11" t="s">
        <v>1</v>
      </c>
      <c r="B11" t="s">
        <v>2</v>
      </c>
      <c r="C11" t="s">
        <v>3</v>
      </c>
    </row>
    <row r="12" spans="1:3">
      <c r="A12">
        <v>0.08</v>
      </c>
      <c r="B12">
        <v>1.0082</v>
      </c>
      <c r="C12">
        <f>ABS(((A12-B12)/B12)*100)</f>
        <v>92.065066455068447</v>
      </c>
    </row>
    <row r="13" spans="1:3">
      <c r="A13">
        <v>0.27</v>
      </c>
      <c r="B13">
        <v>1.9970000000000001</v>
      </c>
      <c r="C13">
        <f t="shared" ref="C13:C57" si="1">ABS(((A13-B13)/B13)*100)</f>
        <v>86.479719579369046</v>
      </c>
    </row>
    <row r="14" spans="1:3">
      <c r="A14">
        <v>0.47</v>
      </c>
      <c r="B14">
        <v>2.9980000000000002</v>
      </c>
      <c r="C14">
        <f t="shared" si="1"/>
        <v>84.322881921280867</v>
      </c>
    </row>
    <row r="15" spans="1:3">
      <c r="A15">
        <v>0.67</v>
      </c>
      <c r="B15">
        <v>3.9910000000000001</v>
      </c>
      <c r="C15">
        <f t="shared" si="1"/>
        <v>83.212227511901787</v>
      </c>
    </row>
    <row r="16" spans="1:3">
      <c r="A16">
        <v>0.87</v>
      </c>
      <c r="B16">
        <v>4.9829999999999997</v>
      </c>
      <c r="C16">
        <f t="shared" si="1"/>
        <v>82.540638169777239</v>
      </c>
    </row>
    <row r="17" spans="1:4">
      <c r="A17">
        <v>1.07</v>
      </c>
      <c r="B17">
        <v>6.0049999999999999</v>
      </c>
      <c r="C17">
        <f t="shared" si="1"/>
        <v>82.181515403830147</v>
      </c>
    </row>
    <row r="18" spans="1:4">
      <c r="A18">
        <v>1.28</v>
      </c>
      <c r="B18">
        <v>7</v>
      </c>
      <c r="C18">
        <f t="shared" si="1"/>
        <v>81.714285714285708</v>
      </c>
    </row>
    <row r="19" spans="1:4">
      <c r="A19">
        <v>1.48</v>
      </c>
      <c r="B19">
        <v>7.9909999999999997</v>
      </c>
      <c r="C19">
        <f t="shared" si="1"/>
        <v>81.479164059567012</v>
      </c>
    </row>
    <row r="20" spans="1:4">
      <c r="A20">
        <v>1.69</v>
      </c>
      <c r="B20">
        <v>9.0039999999999996</v>
      </c>
      <c r="C20">
        <f t="shared" si="1"/>
        <v>81.230564193691706</v>
      </c>
    </row>
    <row r="21" spans="1:4">
      <c r="A21">
        <v>1.89</v>
      </c>
      <c r="B21">
        <v>10.002000000000001</v>
      </c>
      <c r="C21">
        <f t="shared" si="1"/>
        <v>81.10377924415117</v>
      </c>
    </row>
    <row r="22" spans="1:4">
      <c r="A22">
        <v>2.09</v>
      </c>
      <c r="B22">
        <v>11.005000000000001</v>
      </c>
      <c r="C22">
        <f t="shared" si="1"/>
        <v>81.008632439800095</v>
      </c>
    </row>
    <row r="23" spans="1:4">
      <c r="A23">
        <v>2.29</v>
      </c>
      <c r="B23">
        <v>11.992000000000001</v>
      </c>
      <c r="C23">
        <f t="shared" si="1"/>
        <v>80.903935957304867</v>
      </c>
    </row>
    <row r="24" spans="1:4">
      <c r="A24">
        <v>2.64</v>
      </c>
      <c r="B24">
        <v>13.007</v>
      </c>
      <c r="C24">
        <f t="shared" si="1"/>
        <v>79.703236718689936</v>
      </c>
    </row>
    <row r="25" spans="1:4">
      <c r="A25">
        <v>2.82</v>
      </c>
      <c r="B25">
        <v>13.989000000000001</v>
      </c>
      <c r="C25">
        <f t="shared" si="1"/>
        <v>79.841303881621272</v>
      </c>
    </row>
    <row r="26" spans="1:4">
      <c r="A26">
        <v>3.11</v>
      </c>
      <c r="B26">
        <v>14.981999999999999</v>
      </c>
      <c r="C26">
        <f t="shared" si="1"/>
        <v>79.241756774796428</v>
      </c>
    </row>
    <row r="27" spans="1:4">
      <c r="C27" t="e">
        <f t="shared" si="1"/>
        <v>#DIV/0!</v>
      </c>
    </row>
    <row r="28" spans="1:4">
      <c r="A28">
        <v>0</v>
      </c>
      <c r="B28">
        <v>0</v>
      </c>
      <c r="C28" t="e">
        <f t="shared" si="1"/>
        <v>#DIV/0!</v>
      </c>
      <c r="D28">
        <v>0</v>
      </c>
    </row>
    <row r="29" spans="1:4">
      <c r="A29">
        <v>0.08</v>
      </c>
      <c r="B29">
        <v>1</v>
      </c>
      <c r="C29">
        <f t="shared" si="1"/>
        <v>92</v>
      </c>
      <c r="D29">
        <v>1</v>
      </c>
    </row>
    <row r="30" spans="1:4">
      <c r="A30">
        <v>0.27</v>
      </c>
      <c r="B30">
        <v>2</v>
      </c>
      <c r="C30">
        <f t="shared" si="1"/>
        <v>86.5</v>
      </c>
      <c r="D30">
        <v>2</v>
      </c>
    </row>
    <row r="31" spans="1:4">
      <c r="A31">
        <v>0.48</v>
      </c>
      <c r="B31">
        <v>3</v>
      </c>
      <c r="C31">
        <f t="shared" si="1"/>
        <v>84</v>
      </c>
      <c r="D31">
        <v>3</v>
      </c>
    </row>
    <row r="32" spans="1:4">
      <c r="A32">
        <v>0.68</v>
      </c>
      <c r="B32">
        <v>4</v>
      </c>
      <c r="C32">
        <f t="shared" si="1"/>
        <v>83</v>
      </c>
      <c r="D32">
        <v>4</v>
      </c>
    </row>
    <row r="33" spans="1:4">
      <c r="A33">
        <v>0.88</v>
      </c>
      <c r="B33">
        <v>5</v>
      </c>
      <c r="C33">
        <f t="shared" si="1"/>
        <v>82.4</v>
      </c>
      <c r="D33">
        <v>5</v>
      </c>
    </row>
    <row r="34" spans="1:4">
      <c r="A34">
        <v>1.08</v>
      </c>
      <c r="B34">
        <v>6</v>
      </c>
      <c r="C34">
        <f t="shared" si="1"/>
        <v>82</v>
      </c>
      <c r="D34">
        <v>6</v>
      </c>
    </row>
    <row r="35" spans="1:4">
      <c r="A35">
        <v>1.33</v>
      </c>
      <c r="B35">
        <v>7</v>
      </c>
      <c r="C35">
        <f t="shared" si="1"/>
        <v>81</v>
      </c>
      <c r="D35">
        <v>7</v>
      </c>
    </row>
    <row r="36" spans="1:4">
      <c r="A36">
        <v>1.45</v>
      </c>
      <c r="B36">
        <v>8</v>
      </c>
      <c r="C36">
        <f t="shared" si="1"/>
        <v>81.875</v>
      </c>
      <c r="D36">
        <v>8</v>
      </c>
    </row>
    <row r="37" spans="1:4">
      <c r="A37">
        <v>1.69</v>
      </c>
      <c r="B37">
        <v>9</v>
      </c>
      <c r="C37">
        <f t="shared" si="1"/>
        <v>81.222222222222229</v>
      </c>
      <c r="D37">
        <v>9</v>
      </c>
    </row>
    <row r="38" spans="1:4">
      <c r="A38">
        <v>1.89</v>
      </c>
      <c r="B38">
        <v>10</v>
      </c>
      <c r="C38">
        <f t="shared" si="1"/>
        <v>81.099999999999994</v>
      </c>
      <c r="D38">
        <v>10</v>
      </c>
    </row>
    <row r="39" spans="1:4">
      <c r="A39">
        <v>2.09</v>
      </c>
      <c r="B39">
        <v>11</v>
      </c>
      <c r="C39">
        <f t="shared" si="1"/>
        <v>81</v>
      </c>
    </row>
    <row r="40" spans="1:4">
      <c r="A40">
        <v>2.2999999999999998</v>
      </c>
      <c r="B40">
        <v>12</v>
      </c>
      <c r="C40">
        <f t="shared" si="1"/>
        <v>80.833333333333329</v>
      </c>
    </row>
    <row r="41" spans="1:4">
      <c r="A41">
        <v>2.5099999999999998</v>
      </c>
      <c r="B41">
        <v>13</v>
      </c>
      <c r="C41">
        <f t="shared" si="1"/>
        <v>80.692307692307693</v>
      </c>
    </row>
    <row r="42" spans="1:4">
      <c r="A42">
        <v>2.77</v>
      </c>
      <c r="B42">
        <v>14</v>
      </c>
      <c r="C42">
        <f t="shared" si="1"/>
        <v>80.214285714285722</v>
      </c>
    </row>
    <row r="43" spans="1:4">
      <c r="A43">
        <v>3.08</v>
      </c>
      <c r="B43">
        <v>15</v>
      </c>
      <c r="C43">
        <f t="shared" si="1"/>
        <v>79.466666666666669</v>
      </c>
    </row>
    <row r="44" spans="1:4">
      <c r="A44">
        <v>3.3</v>
      </c>
      <c r="B44">
        <v>16</v>
      </c>
      <c r="C44">
        <f t="shared" si="1"/>
        <v>79.375</v>
      </c>
    </row>
    <row r="45" spans="1:4">
      <c r="C45" t="e">
        <f t="shared" si="1"/>
        <v>#DIV/0!</v>
      </c>
    </row>
    <row r="46" spans="1:4">
      <c r="A46" t="s">
        <v>4</v>
      </c>
      <c r="B46">
        <v>1.65</v>
      </c>
    </row>
    <row r="47" spans="1:4">
      <c r="A47">
        <v>0</v>
      </c>
      <c r="B47">
        <v>0</v>
      </c>
      <c r="C47" t="e">
        <f t="shared" si="1"/>
        <v>#DIV/0!</v>
      </c>
    </row>
    <row r="48" spans="1:4">
      <c r="A48">
        <v>0.20599999999999999</v>
      </c>
      <c r="B48">
        <v>1.651</v>
      </c>
      <c r="C48">
        <f t="shared" si="1"/>
        <v>87.522713506965474</v>
      </c>
    </row>
    <row r="49" spans="1:3">
      <c r="A49">
        <v>0.54200000000000004</v>
      </c>
      <c r="B49">
        <v>3.2989999999999999</v>
      </c>
      <c r="C49">
        <f t="shared" si="1"/>
        <v>83.570779023946642</v>
      </c>
    </row>
    <row r="50" spans="1:3">
      <c r="A50">
        <v>0.88200000000000001</v>
      </c>
      <c r="B50">
        <v>4.9459999999999997</v>
      </c>
      <c r="C50">
        <f t="shared" si="1"/>
        <v>82.167408006469884</v>
      </c>
    </row>
    <row r="51" spans="1:3">
      <c r="A51">
        <v>1.2210000000000001</v>
      </c>
      <c r="B51">
        <v>6.5949999999999998</v>
      </c>
      <c r="C51">
        <f t="shared" si="1"/>
        <v>81.485974222896132</v>
      </c>
    </row>
    <row r="52" spans="1:3">
      <c r="A52">
        <v>1.56</v>
      </c>
      <c r="B52">
        <v>8.2460000000000004</v>
      </c>
      <c r="C52">
        <f t="shared" si="1"/>
        <v>81.081736599563413</v>
      </c>
    </row>
    <row r="53" spans="1:3">
      <c r="A53">
        <v>1.91</v>
      </c>
      <c r="B53">
        <v>9.8930000000000007</v>
      </c>
      <c r="C53">
        <f t="shared" si="1"/>
        <v>80.693419589608823</v>
      </c>
    </row>
    <row r="54" spans="1:3">
      <c r="A54">
        <v>2.2519999999999998</v>
      </c>
      <c r="B54">
        <v>11.542</v>
      </c>
      <c r="C54">
        <f t="shared" si="1"/>
        <v>80.488650147288155</v>
      </c>
    </row>
    <row r="55" spans="1:3">
      <c r="A55">
        <v>2.6160000000000001</v>
      </c>
      <c r="B55">
        <v>13.192</v>
      </c>
      <c r="C55">
        <f t="shared" si="1"/>
        <v>80.169799878714372</v>
      </c>
    </row>
    <row r="56" spans="1:3">
      <c r="A56">
        <v>3.1520000000000001</v>
      </c>
      <c r="B56">
        <v>14.84</v>
      </c>
      <c r="C56">
        <f t="shared" si="1"/>
        <v>78.760107816711582</v>
      </c>
    </row>
    <row r="57" spans="1:3">
      <c r="A57">
        <v>3.3</v>
      </c>
      <c r="B57">
        <v>16.492000000000001</v>
      </c>
      <c r="C57">
        <f t="shared" si="1"/>
        <v>79.9902983264613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9033AB3500243907263DD5EFE48AD" ma:contentTypeVersion="6" ma:contentTypeDescription="Create a new document." ma:contentTypeScope="" ma:versionID="6078714befbf8bf62bd6ea441e92d3d4">
  <xsd:schema xmlns:xsd="http://www.w3.org/2001/XMLSchema" xmlns:xs="http://www.w3.org/2001/XMLSchema" xmlns:p="http://schemas.microsoft.com/office/2006/metadata/properties" xmlns:ns3="73fe6913-2c60-4204-b8ec-731dc713103c" targetNamespace="http://schemas.microsoft.com/office/2006/metadata/properties" ma:root="true" ma:fieldsID="fe9b8e06eaa540da2fa3137347bbe26a" ns3:_="">
    <xsd:import namespace="73fe6913-2c60-4204-b8ec-731dc713103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e6913-2c60-4204-b8ec-731dc713103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fe6913-2c60-4204-b8ec-731dc713103c" xsi:nil="true"/>
  </documentManagement>
</p:properties>
</file>

<file path=customXml/itemProps1.xml><?xml version="1.0" encoding="utf-8"?>
<ds:datastoreItem xmlns:ds="http://schemas.openxmlformats.org/officeDocument/2006/customXml" ds:itemID="{FF8ACE1F-A3F5-40FB-9590-8F1B21D049BB}"/>
</file>

<file path=customXml/itemProps2.xml><?xml version="1.0" encoding="utf-8"?>
<ds:datastoreItem xmlns:ds="http://schemas.openxmlformats.org/officeDocument/2006/customXml" ds:itemID="{2912C2DB-7F1E-45B1-B710-2C4A627EEFA4}"/>
</file>

<file path=customXml/itemProps3.xml><?xml version="1.0" encoding="utf-8"?>
<ds:datastoreItem xmlns:ds="http://schemas.openxmlformats.org/officeDocument/2006/customXml" ds:itemID="{2E3CC460-67F2-442B-860B-9D579072FB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Apilak Jeentang</dc:creator>
  <cp:keywords/>
  <dc:description/>
  <cp:lastModifiedBy/>
  <cp:revision/>
  <dcterms:created xsi:type="dcterms:W3CDTF">2025-10-10T08:32:26Z</dcterms:created>
  <dcterms:modified xsi:type="dcterms:W3CDTF">2025-10-10T12:09:36Z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0x0101006039033AB3500243907263DD5EFE48AD</vt:lpwstr>
  </property>
</Properties>
</file>